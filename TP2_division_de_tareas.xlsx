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Persona A" sheetId="2" state="visible" r:id="rId4"/>
    <sheet name="Persona B" sheetId="3" state="visible" r:id="rId5"/>
    <sheet name="Compartida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<sst xmlns="http://schemas.openxmlformats.org/spreadsheetml/2006/main" count="127" uniqueCount="73">
  <si>
    <t xml:space="preserve">Resumen de avance – TP2</t>
  </si>
  <si>
    <t xml:space="preserve">Hoja</t>
  </si>
  <si>
    <t xml:space="preserve">Total tareas</t>
  </si>
  <si>
    <t xml:space="preserve">Pendiente</t>
  </si>
  <si>
    <t xml:space="preserve">En progreso</t>
  </si>
  <si>
    <t xml:space="preserve">Listo</t>
  </si>
  <si>
    <t xml:space="preserve">% Listo</t>
  </si>
  <si>
    <t xml:space="preserve">Persona A</t>
  </si>
  <si>
    <t xml:space="preserve">Persona B</t>
  </si>
  <si>
    <t xml:space="preserve">Compartidas</t>
  </si>
  <si>
    <t xml:space="preserve">Total</t>
  </si>
  <si>
    <t xml:space="preserve">Nota: el avance se calcula automáticamente a partir de la columna Estado de cada hoja.</t>
  </si>
  <si>
    <t xml:space="preserve">Persona A: Datos, carga y estados de cuenta</t>
  </si>
  <si>
    <t xml:space="preserve">TP2 – Base de Datos 1 (cuenta de ahorros y subcuenta objetivo). Entrega: 12 de octubre. Columnas Estado, Fecha límite y Notas: editables.</t>
  </si>
  <si>
    <t xml:space="preserve">#</t>
  </si>
  <si>
    <t xml:space="preserve">Área</t>
  </si>
  <si>
    <t xml:space="preserve">Tarea</t>
  </si>
  <si>
    <t xml:space="preserve">Entregable</t>
  </si>
  <si>
    <t xml:space="preserve">Estado</t>
  </si>
  <si>
    <t xml:space="preserve">Fecha límite</t>
  </si>
  <si>
    <t xml:space="preserve">Notas</t>
  </si>
  <si>
    <t xml:space="preserve">BD</t>
  </si>
  <si>
    <t xml:space="preserve">Crear tablas de catálogos: TipoDocuIdentidad, TipoMoneda, Parentezco, TipoCuentaAhorro (llaves sin identity, tal cual el XML)</t>
  </si>
  <si>
    <t xml:space="preserve">Script SQL de creación</t>
  </si>
  <si>
    <t xml:space="preserve">Crear tablas Persona, Cuenta y Estado_de_Cuenta (llaves identity, con llaves alternas NumeroCuenta y ValorDocumentoIdentidad)</t>
  </si>
  <si>
    <t xml:space="preserve">Script de carga desde XML de catálogos</t>
  </si>
  <si>
    <t xml:space="preserve">Script de carga de catálogos</t>
  </si>
  <si>
    <t xml:space="preserve">Script de carga desde XML de Personas, Cuentas y Estados de cuenta, resolviendo los FK por llave alterna</t>
  </si>
  <si>
    <t xml:space="preserve">Script de carga de entidades</t>
  </si>
  <si>
    <t xml:space="preserve">SP de consulta de los últimos 8 estados de cuenta, orden descendente por fecha de emisión</t>
  </si>
  <si>
    <t xml:space="preserve">SP + pruebas en SQL</t>
  </si>
  <si>
    <t xml:space="preserve">Lógica</t>
  </si>
  <si>
    <t xml:space="preserve">Conexión a SQL Server y capa de acceso a datos (reutilizable por B)</t>
  </si>
  <si>
    <t xml:space="preserve">Módulo de conexión</t>
  </si>
  <si>
    <t xml:space="preserve">Pantalla de estados de cuenta: lista cliqueable (sin acción al clic) con fecha, saldo inicial, final, mínimo, intereses, retiros, depósitos y SINPE</t>
  </si>
  <si>
    <t xml:space="preserve">Vista/endpoint funcional</t>
  </si>
  <si>
    <t xml:space="preserve">Layout general y navegación del sitio</t>
  </si>
  <si>
    <t xml:space="preserve">Plantilla base</t>
  </si>
  <si>
    <t xml:space="preserve">Persona B: Usuarios, beneficiarios y bitácora</t>
  </si>
  <si>
    <t xml:space="preserve">Crear tablas Usuario, UsuarioPuedeVer, Beneficiario (con flagActivo y fecha de desactivación), Bitácora y TipoOperacion</t>
  </si>
  <si>
    <t xml:space="preserve">Script de carga desde XML de Usuarios, Usuarios_Ver, Beneficiarios y TipoOperacionesBitacora</t>
  </si>
  <si>
    <t xml:space="preserve">Script de carga</t>
  </si>
  <si>
    <t xml:space="preserve">SP de login (valida usuario y contraseña, devuelve tipo de usuario y cuentas accesibles)</t>
  </si>
  <si>
    <t xml:space="preserve">SP + pruebas</t>
  </si>
  <si>
    <t xml:space="preserve">SP de beneficiarios: agregar (máx. 3 activos), actualizar nombre/parentesco/porcentaje, eliminación lógica</t>
  </si>
  <si>
    <t xml:space="preserve">SPs + pruebas</t>
  </si>
  <si>
    <t xml:space="preserve">Validaciones en los SP: porcentaje ≤ 100, campos obligatorios, formato de documento y teléfonos</t>
  </si>
  <si>
    <t xml:space="preserve">Códigos de error definidos</t>
  </si>
  <si>
    <t xml:space="preserve">SP de bitácora: login (con IP), logout, cambios en beneficiarios (JSON antes y después) y consulta de estados</t>
  </si>
  <si>
    <t xml:space="preserve">SP de registro</t>
  </si>
  <si>
    <t xml:space="preserve">Login/logout y manejo de sesión</t>
  </si>
  <si>
    <t xml:space="preserve">Pantalla de login funcional</t>
  </si>
  <si>
    <t xml:space="preserve">Pantalla de edición de beneficiarios con la alerta "la suma de los porcentajes de sus beneficiarios no suma 100, favor corregir y cancelar la edición"</t>
  </si>
  <si>
    <t xml:space="preserve">Vista/CRUD funcional</t>
  </si>
  <si>
    <t xml:space="preserve">Tareas compartidas</t>
  </si>
  <si>
    <t xml:space="preserve">Responsable principal</t>
  </si>
  <si>
    <t xml:space="preserve">Apoyo</t>
  </si>
  <si>
    <t xml:space="preserve">Diseño del esquema físico y contrato de SPs</t>
  </si>
  <si>
    <t xml:space="preserve">Ambos</t>
  </si>
  <si>
    <t xml:space="preserve">Llamada a bitácora desde la consulta de estados de cuenta (operación 7)</t>
  </si>
  <si>
    <t xml:space="preserve">A</t>
  </si>
  <si>
    <t xml:space="preserve">B (SP de bitácora)</t>
  </si>
  <si>
    <t xml:space="preserve">Integración de login con el menú del sitio</t>
  </si>
  <si>
    <t xml:space="preserve">B</t>
  </si>
  <si>
    <t xml:space="preserve">A (layout)</t>
  </si>
  <si>
    <t xml:space="preserve">Datos de prueba (20 a 30 beneficiarios, cuentas y estados)</t>
  </si>
  <si>
    <t xml:space="preserve">A (cuentas y estados)</t>
  </si>
  <si>
    <t xml:space="preserve">B (beneficiarios y usuarios)</t>
  </si>
  <si>
    <t xml:space="preserve">Pruebas cruzadas del módulo del otro</t>
  </si>
  <si>
    <t xml:space="preserve">Blog e informe de análisis de resultados</t>
  </si>
  <si>
    <t xml:space="preserve">Cada uno su parte</t>
  </si>
  <si>
    <t xml:space="preserve">Revisión mutua</t>
  </si>
  <si>
    <t xml:space="preserve">Commits frecuentes en GitHub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</si>
</sst>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"/>
    <numFmt numFmtId="167" formatCode="dd/mm/yyyy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404040"/>
        <bgColor rgb="FF375623"/>
      </patternFill>
    </fill>
    <fill>
      <patternFill patternType="solid">
        <fgColor rgb="FF1F4E78"/>
        <bgColor rgb="FF003366"/>
      </patternFill>
    </fill>
    <fill>
      <patternFill patternType="solid">
        <fgColor rgb="FF375623"/>
        <bgColor rgb="FF404040"/>
      </patternFill>
    </fill>
    <fill>
      <patternFill patternType="solid">
        <fgColor rgb="FF7F6000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75623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6" min="5" style="0" width="1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15" hidden="false" customHeight="false" outlineLevel="0" collapsed="false">
      <c r="A4" s="3" t="s">
        <v>7</v>
      </c>
      <c r="B4" s="4" t="n">
        <f aca="false">COUNTA('Persona A'!$E$5:$E$12)</f>
        <v>8</v>
      </c>
      <c r="C4" s="4" t="n">
        <f aca="false">COUNTIF('Persona A'!$E$5:$E$12,"Pendiente")</f>
        <v>8</v>
      </c>
      <c r="D4" s="4" t="n">
        <f aca="false">COUNTIF('Persona A'!$E$5:$E$12,"En progreso")</f>
        <v>0</v>
      </c>
      <c r="E4" s="4" t="n">
        <f aca="false">COUNTIF('Persona A'!$E$5:$E$12,"Listo")</f>
        <v>0</v>
      </c>
      <c r="F4" s="5" t="n">
        <f aca="false">IF(B4=0,0,E4/B4)</f>
        <v>0</v>
      </c>
    </row>
    <row r="5" customFormat="false" ht="15" hidden="false" customHeight="false" outlineLevel="0" collapsed="false">
      <c r="A5" s="3" t="s">
        <v>8</v>
      </c>
      <c r="B5" s="4" t="n">
        <f aca="false">COUNTA('Persona B'!$E$5:$E$12)</f>
        <v>8</v>
      </c>
      <c r="C5" s="4" t="n">
        <f aca="false">COUNTIF('Persona B'!$E$5:$E$12,"Pendiente")</f>
        <v>8</v>
      </c>
      <c r="D5" s="4" t="n">
        <f aca="false">COUNTIF('Persona B'!$E$5:$E$12,"En progreso")</f>
        <v>0</v>
      </c>
      <c r="E5" s="4" t="n">
        <f aca="false">COUNTIF('Persona B'!$E$5:$E$12,"Listo")</f>
        <v>0</v>
      </c>
      <c r="F5" s="5" t="n">
        <f aca="false">IF(B5=0,0,E5/B5)</f>
        <v>0</v>
      </c>
    </row>
    <row r="6" customFormat="false" ht="15" hidden="false" customHeight="false" outlineLevel="0" collapsed="false">
      <c r="A6" s="3" t="s">
        <v>9</v>
      </c>
      <c r="B6" s="4" t="n">
        <f aca="false">COUNTA(Compartidas!$D$4:$D$10)</f>
        <v>7</v>
      </c>
      <c r="C6" s="4" t="n">
        <f aca="false">COUNTIF(Compartidas!$D$4:$D$10,"Pendiente")</f>
        <v>7</v>
      </c>
      <c r="D6" s="4" t="n">
        <f aca="false">COUNTIF(Compartidas!$D$4:$D$10,"En progreso")</f>
        <v>0</v>
      </c>
      <c r="E6" s="4" t="n">
        <f aca="false">COUNTIF(Compartidas!$D$4:$D$10,"Listo")</f>
        <v>0</v>
      </c>
      <c r="F6" s="5" t="n">
        <f aca="false">IF(B6=0,0,E6/B6)</f>
        <v>0</v>
      </c>
    </row>
    <row r="7" customFormat="false" ht="15" hidden="false" customHeight="false" outlineLevel="0" collapsed="false">
      <c r="A7" s="6" t="s">
        <v>10</v>
      </c>
      <c r="B7" s="7" t="n">
        <f aca="false">SUM(B4:B6)</f>
        <v>23</v>
      </c>
      <c r="C7" s="7" t="n">
        <f aca="false">SUM(C4:C6)</f>
        <v>23</v>
      </c>
      <c r="D7" s="7" t="n">
        <f aca="false">SUM(D4:D6)</f>
        <v>0</v>
      </c>
      <c r="E7" s="7" t="n">
        <f aca="false">SUM(E4:E6)</f>
        <v>0</v>
      </c>
      <c r="F7" s="8" t="n">
        <f aca="false">IF(B7=0,0,E7/B7)</f>
        <v>0</v>
      </c>
    </row>
    <row r="9" customFormat="false" ht="15" hidden="false" customHeight="false" outlineLevel="0" collapsed="false">
      <c r="A9" s="9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70"/>
    <col collapsed="false" customWidth="true" hidden="false" outlineLevel="0" max="4" min="4" style="0" width="30"/>
    <col collapsed="false" customWidth="true" hidden="false" outlineLevel="0" max="6" min="5" style="0" width="14"/>
    <col collapsed="false" customWidth="true" hidden="false" outlineLevel="0" max="7" min="7" style="0" width="30"/>
  </cols>
  <sheetData>
    <row r="1" customFormat="false" ht="17.35" hidden="false" customHeight="false" outlineLevel="0" collapsed="false">
      <c r="A1" s="1" t="s">
        <v>12</v>
      </c>
    </row>
    <row r="2" customFormat="false" ht="15" hidden="false" customHeight="false" outlineLevel="0" collapsed="false">
      <c r="A2" s="9" t="s">
        <v>13</v>
      </c>
    </row>
    <row r="4" customFormat="false" ht="15" hidden="false" customHeight="false" outlineLevel="0" collapsed="false">
      <c r="A4" s="10" t="s">
        <v>14</v>
      </c>
      <c r="B4" s="10" t="s">
        <v>15</v>
      </c>
      <c r="C4" s="10" t="s">
        <v>16</v>
      </c>
      <c r="D4" s="10" t="s">
        <v>17</v>
      </c>
      <c r="E4" s="10" t="s">
        <v>18</v>
      </c>
      <c r="F4" s="10" t="s">
        <v>19</v>
      </c>
      <c r="G4" s="10" t="s">
        <v>20</v>
      </c>
    </row>
    <row r="5" customFormat="false" ht="23.85" hidden="false" customHeight="false" outlineLevel="0" collapsed="false">
      <c r="A5" s="11" t="n">
        <v>1</v>
      </c>
      <c r="B5" s="11" t="s">
        <v>21</v>
      </c>
      <c r="C5" s="11" t="s">
        <v>22</v>
      </c>
      <c r="D5" s="11" t="s">
        <v>23</v>
      </c>
      <c r="E5" s="12" t="s">
        <v>3</v>
      </c>
      <c r="F5" s="13"/>
      <c r="G5" s="11"/>
    </row>
    <row r="6" customFormat="false" ht="23.85" hidden="false" customHeight="false" outlineLevel="0" collapsed="false">
      <c r="A6" s="11" t="n">
        <v>2</v>
      </c>
      <c r="B6" s="11" t="s">
        <v>21</v>
      </c>
      <c r="C6" s="11" t="s">
        <v>24</v>
      </c>
      <c r="D6" s="11" t="s">
        <v>23</v>
      </c>
      <c r="E6" s="12" t="s">
        <v>3</v>
      </c>
      <c r="F6" s="13"/>
      <c r="G6" s="11"/>
    </row>
    <row r="7" customFormat="false" ht="15" hidden="false" customHeight="false" outlineLevel="0" collapsed="false">
      <c r="A7" s="11" t="n">
        <v>3</v>
      </c>
      <c r="B7" s="11" t="s">
        <v>21</v>
      </c>
      <c r="C7" s="11" t="s">
        <v>25</v>
      </c>
      <c r="D7" s="11" t="s">
        <v>26</v>
      </c>
      <c r="E7" s="12" t="s">
        <v>3</v>
      </c>
      <c r="F7" s="13"/>
      <c r="G7" s="11"/>
    </row>
    <row r="8" customFormat="false" ht="23.85" hidden="false" customHeight="false" outlineLevel="0" collapsed="false">
      <c r="A8" s="11" t="n">
        <v>4</v>
      </c>
      <c r="B8" s="11" t="s">
        <v>21</v>
      </c>
      <c r="C8" s="11" t="s">
        <v>27</v>
      </c>
      <c r="D8" s="11" t="s">
        <v>28</v>
      </c>
      <c r="E8" s="12" t="s">
        <v>3</v>
      </c>
      <c r="F8" s="13"/>
      <c r="G8" s="11"/>
    </row>
    <row r="9" customFormat="false" ht="23.85" hidden="false" customHeight="false" outlineLevel="0" collapsed="false">
      <c r="A9" s="11" t="n">
        <v>5</v>
      </c>
      <c r="B9" s="11" t="s">
        <v>21</v>
      </c>
      <c r="C9" s="11" t="s">
        <v>29</v>
      </c>
      <c r="D9" s="11" t="s">
        <v>30</v>
      </c>
      <c r="E9" s="12" t="s">
        <v>3</v>
      </c>
      <c r="F9" s="13"/>
      <c r="G9" s="11"/>
    </row>
    <row r="10" customFormat="false" ht="15" hidden="false" customHeight="false" outlineLevel="0" collapsed="false">
      <c r="A10" s="11" t="n">
        <v>6</v>
      </c>
      <c r="B10" s="11" t="s">
        <v>31</v>
      </c>
      <c r="C10" s="11" t="s">
        <v>32</v>
      </c>
      <c r="D10" s="11" t="s">
        <v>33</v>
      </c>
      <c r="E10" s="12" t="s">
        <v>3</v>
      </c>
      <c r="F10" s="13"/>
      <c r="G10" s="11"/>
    </row>
    <row r="11" customFormat="false" ht="23.85" hidden="false" customHeight="false" outlineLevel="0" collapsed="false">
      <c r="A11" s="11" t="n">
        <v>7</v>
      </c>
      <c r="B11" s="11" t="s">
        <v>31</v>
      </c>
      <c r="C11" s="11" t="s">
        <v>34</v>
      </c>
      <c r="D11" s="11" t="s">
        <v>35</v>
      </c>
      <c r="E11" s="12" t="s">
        <v>3</v>
      </c>
      <c r="F11" s="13"/>
      <c r="G11" s="11"/>
    </row>
    <row r="12" customFormat="false" ht="15" hidden="false" customHeight="false" outlineLevel="0" collapsed="false">
      <c r="A12" s="11" t="n">
        <v>8</v>
      </c>
      <c r="B12" s="11" t="s">
        <v>31</v>
      </c>
      <c r="C12" s="11" t="s">
        <v>36</v>
      </c>
      <c r="D12" s="11" t="s">
        <v>37</v>
      </c>
      <c r="E12" s="12" t="s">
        <v>3</v>
      </c>
      <c r="F12" s="13"/>
      <c r="G12" s="11"/>
    </row>
  </sheetData>
  <dataValidations count="1">
    <dataValidation allowBlank="false" errorStyle="stop" operator="between" showDropDown="false" showErrorMessage="false" showInputMessage="false" sqref="E5:E12" type="list">
      <formula1>"Pendiente,En progreso,Listo"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70"/>
    <col collapsed="false" customWidth="true" hidden="false" outlineLevel="0" max="4" min="4" style="0" width="30"/>
    <col collapsed="false" customWidth="true" hidden="false" outlineLevel="0" max="6" min="5" style="0" width="14"/>
    <col collapsed="false" customWidth="true" hidden="false" outlineLevel="0" max="7" min="7" style="0" width="30"/>
  </cols>
  <sheetData>
    <row r="1" customFormat="false" ht="17.35" hidden="false" customHeight="false" outlineLevel="0" collapsed="false">
      <c r="A1" s="1" t="s">
        <v>38</v>
      </c>
    </row>
    <row r="2" customFormat="false" ht="15" hidden="false" customHeight="false" outlineLevel="0" collapsed="false">
      <c r="A2" s="9" t="s">
        <v>13</v>
      </c>
    </row>
    <row r="4" customFormat="false" ht="15" hidden="false" customHeight="false" outlineLevel="0" collapsed="false">
      <c r="A4" s="14" t="s">
        <v>14</v>
      </c>
      <c r="B4" s="14" t="s">
        <v>15</v>
      </c>
      <c r="C4" s="14" t="s">
        <v>16</v>
      </c>
      <c r="D4" s="14" t="s">
        <v>17</v>
      </c>
      <c r="E4" s="14" t="s">
        <v>18</v>
      </c>
      <c r="F4" s="14" t="s">
        <v>19</v>
      </c>
      <c r="G4" s="14" t="s">
        <v>20</v>
      </c>
    </row>
    <row r="5" customFormat="false" ht="23.85" hidden="false" customHeight="false" outlineLevel="0" collapsed="false">
      <c r="A5" s="11" t="n">
        <v>1</v>
      </c>
      <c r="B5" s="11" t="s">
        <v>21</v>
      </c>
      <c r="C5" s="11" t="s">
        <v>39</v>
      </c>
      <c r="D5" s="11" t="s">
        <v>23</v>
      </c>
      <c r="E5" s="12" t="s">
        <v>3</v>
      </c>
      <c r="F5" s="13"/>
      <c r="G5" s="11"/>
    </row>
    <row r="6" customFormat="false" ht="23.85" hidden="false" customHeight="false" outlineLevel="0" collapsed="false">
      <c r="A6" s="11" t="n">
        <v>2</v>
      </c>
      <c r="B6" s="11" t="s">
        <v>21</v>
      </c>
      <c r="C6" s="11" t="s">
        <v>40</v>
      </c>
      <c r="D6" s="11" t="s">
        <v>41</v>
      </c>
      <c r="E6" s="12" t="s">
        <v>3</v>
      </c>
      <c r="F6" s="13"/>
      <c r="G6" s="11"/>
    </row>
    <row r="7" customFormat="false" ht="23.85" hidden="false" customHeight="false" outlineLevel="0" collapsed="false">
      <c r="A7" s="11" t="n">
        <v>3</v>
      </c>
      <c r="B7" s="11" t="s">
        <v>21</v>
      </c>
      <c r="C7" s="11" t="s">
        <v>42</v>
      </c>
      <c r="D7" s="11" t="s">
        <v>43</v>
      </c>
      <c r="E7" s="12" t="s">
        <v>3</v>
      </c>
      <c r="F7" s="13"/>
      <c r="G7" s="11"/>
    </row>
    <row r="8" customFormat="false" ht="23.85" hidden="false" customHeight="false" outlineLevel="0" collapsed="false">
      <c r="A8" s="11" t="n">
        <v>4</v>
      </c>
      <c r="B8" s="11" t="s">
        <v>21</v>
      </c>
      <c r="C8" s="11" t="s">
        <v>44</v>
      </c>
      <c r="D8" s="11" t="s">
        <v>45</v>
      </c>
      <c r="E8" s="12" t="s">
        <v>3</v>
      </c>
      <c r="F8" s="13"/>
      <c r="G8" s="11"/>
    </row>
    <row r="9" customFormat="false" ht="23.85" hidden="false" customHeight="false" outlineLevel="0" collapsed="false">
      <c r="A9" s="11" t="n">
        <v>5</v>
      </c>
      <c r="B9" s="11" t="s">
        <v>21</v>
      </c>
      <c r="C9" s="11" t="s">
        <v>46</v>
      </c>
      <c r="D9" s="11" t="s">
        <v>47</v>
      </c>
      <c r="E9" s="12" t="s">
        <v>3</v>
      </c>
      <c r="F9" s="13"/>
      <c r="G9" s="11"/>
    </row>
    <row r="10" customFormat="false" ht="23.85" hidden="false" customHeight="false" outlineLevel="0" collapsed="false">
      <c r="A10" s="11" t="n">
        <v>6</v>
      </c>
      <c r="B10" s="11" t="s">
        <v>21</v>
      </c>
      <c r="C10" s="11" t="s">
        <v>48</v>
      </c>
      <c r="D10" s="11" t="s">
        <v>49</v>
      </c>
      <c r="E10" s="12" t="s">
        <v>3</v>
      </c>
      <c r="F10" s="13"/>
      <c r="G10" s="11"/>
    </row>
    <row r="11" customFormat="false" ht="15" hidden="false" customHeight="false" outlineLevel="0" collapsed="false">
      <c r="A11" s="11" t="n">
        <v>7</v>
      </c>
      <c r="B11" s="11" t="s">
        <v>31</v>
      </c>
      <c r="C11" s="11" t="s">
        <v>50</v>
      </c>
      <c r="D11" s="11" t="s">
        <v>51</v>
      </c>
      <c r="E11" s="12" t="s">
        <v>3</v>
      </c>
      <c r="F11" s="13"/>
      <c r="G11" s="11"/>
    </row>
    <row r="12" customFormat="false" ht="23.85" hidden="false" customHeight="false" outlineLevel="0" collapsed="false">
      <c r="A12" s="11" t="n">
        <v>8</v>
      </c>
      <c r="B12" s="11" t="s">
        <v>31</v>
      </c>
      <c r="C12" s="11" t="s">
        <v>52</v>
      </c>
      <c r="D12" s="11" t="s">
        <v>53</v>
      </c>
      <c r="E12" s="12" t="s">
        <v>3</v>
      </c>
      <c r="F12" s="13"/>
      <c r="G12" s="11"/>
    </row>
  </sheetData>
  <dataValidations count="1">
    <dataValidation allowBlank="false" errorStyle="stop" operator="between" showDropDown="false" showErrorMessage="false" showInputMessage="false" sqref="E5:E12" type="list">
      <formula1>"Pendiente,En progreso,Listo"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24"/>
    <col collapsed="false" customWidth="true" hidden="false" outlineLevel="0" max="3" min="3" style="0" width="28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1" t="s">
        <v>54</v>
      </c>
    </row>
    <row r="3" customFormat="false" ht="15" hidden="false" customHeight="false" outlineLevel="0" collapsed="false">
      <c r="A3" s="15" t="s">
        <v>16</v>
      </c>
      <c r="B3" s="15" t="s">
        <v>55</v>
      </c>
      <c r="C3" s="15" t="s">
        <v>56</v>
      </c>
      <c r="D3" s="15" t="s">
        <v>18</v>
      </c>
    </row>
    <row r="4" customFormat="false" ht="15" hidden="false" customHeight="false" outlineLevel="0" collapsed="false">
      <c r="A4" s="11" t="s">
        <v>57</v>
      </c>
      <c r="B4" s="11" t="s">
        <v>58</v>
      </c>
      <c r="C4" s="11" t="s">
        <v>58</v>
      </c>
      <c r="D4" s="12" t="s">
        <v>3</v>
      </c>
    </row>
    <row r="5" customFormat="false" ht="15" hidden="false" customHeight="false" outlineLevel="0" collapsed="false">
      <c r="A5" s="11" t="s">
        <v>59</v>
      </c>
      <c r="B5" s="11" t="s">
        <v>60</v>
      </c>
      <c r="C5" s="11" t="s">
        <v>61</v>
      </c>
      <c r="D5" s="12" t="s">
        <v>3</v>
      </c>
    </row>
    <row r="6" customFormat="false" ht="15" hidden="false" customHeight="false" outlineLevel="0" collapsed="false">
      <c r="A6" s="11" t="s">
        <v>62</v>
      </c>
      <c r="B6" s="11" t="s">
        <v>63</v>
      </c>
      <c r="C6" s="11" t="s">
        <v>64</v>
      </c>
      <c r="D6" s="12" t="s">
        <v>3</v>
      </c>
    </row>
    <row r="7" customFormat="false" ht="15" hidden="false" customHeight="false" outlineLevel="0" collapsed="false">
      <c r="A7" s="11" t="s">
        <v>65</v>
      </c>
      <c r="B7" s="11" t="s">
        <v>66</v>
      </c>
      <c r="C7" s="11" t="s">
        <v>67</v>
      </c>
      <c r="D7" s="12" t="s">
        <v>3</v>
      </c>
    </row>
    <row r="8" customFormat="false" ht="15" hidden="false" customHeight="false" outlineLevel="0" collapsed="false">
      <c r="A8" s="11" t="s">
        <v>68</v>
      </c>
      <c r="B8" s="11" t="s">
        <v>58</v>
      </c>
      <c r="C8" s="11" t="s">
        <v>58</v>
      </c>
      <c r="D8" s="12" t="s">
        <v>3</v>
      </c>
    </row>
    <row r="9" customFormat="false" ht="15" hidden="false" customHeight="false" outlineLevel="0" collapsed="false">
      <c r="A9" s="11" t="s">
        <v>69</v>
      </c>
      <c r="B9" s="11" t="s">
        <v>70</v>
      </c>
      <c r="C9" s="11" t="s">
        <v>71</v>
      </c>
      <c r="D9" s="12" t="s">
        <v>3</v>
      </c>
    </row>
    <row r="10" customFormat="false" ht="15" hidden="false" customHeight="false" outlineLevel="0" collapsed="false">
      <c r="A10" s="11" t="s">
        <v>72</v>
      </c>
      <c r="B10" s="11" t="s">
        <v>58</v>
      </c>
      <c r="C10" s="11" t="s">
        <v>58</v>
      </c>
      <c r="D10" s="12" t="s">
        <v>3</v>
      </c>
    </row>
  </sheetData>
  <dataValidations count="1">
    <dataValidation allowBlank="false" errorStyle="stop" operator="between" showDropDown="false" showErrorMessage="false" showInputMessage="false" sqref="D4:D10" type="list">
      <formula1>"Pendiente,En progreso,Listo"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2026-10-03T04:01:45Z</dcterms:created>
  <dc:creator>openpyxl</dc:creator>
  <dc:description/>
  <dc:language>en-US</dc:language>
  <cp:lastModifiedBy/>
  <dcterms:modified xsi:type="dcterms:W3CDTF">2026-10-03T04:01:45Z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